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DÜSTRİ MÜHENDİSLİĞİ\END331\Proje Ödevi\Ödev Son Yapılanlar\"/>
    </mc:Choice>
  </mc:AlternateContent>
  <xr:revisionPtr revIDLastSave="0" documentId="13_ncr:1_{555E2388-F1B7-4A0A-88F9-032B285899F4}" xr6:coauthVersionLast="47" xr6:coauthVersionMax="47" xr10:uidLastSave="{00000000-0000-0000-0000-000000000000}"/>
  <bookViews>
    <workbookView xWindow="-108" yWindow="-108" windowWidth="23256" windowHeight="12576" xr2:uid="{EC4446B7-096F-4CBC-9A98-747D74BCAB08}"/>
  </bookViews>
  <sheets>
    <sheet name="b şıkkı çözümü" sheetId="1" r:id="rId1"/>
    <sheet name="b şıkkı Karar değişkenleri" sheetId="2" r:id="rId2"/>
    <sheet name="d.Şıkkı GAMS tabloları " sheetId="4" r:id="rId3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OpenSolverModelParameters" localSheetId="0" hidden="1">'b şıkkı çözümü'!$B$7:$D$9</definedName>
    <definedName name="solver_adj" localSheetId="0" hidden="1">'b şıkkı çözümü'!$B$7:$D$9,'b şıkkı çözümü'!$H$7:$J$9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'b şıkkı çözümü'!$B$36</definedName>
    <definedName name="solver_lhs10" localSheetId="0" hidden="1">'b şıkkı çözümü'!$B$20</definedName>
    <definedName name="solver_lhs11" localSheetId="0" hidden="1">'b şıkkı çözümü'!$G$21</definedName>
    <definedName name="solver_lhs2" localSheetId="0" hidden="1">'b şıkkı çözümü'!$B$7:$D$9</definedName>
    <definedName name="solver_lhs3" localSheetId="0" hidden="1">'b şıkkı çözümü'!$H$7:$J$9</definedName>
    <definedName name="solver_lhs4" localSheetId="0" hidden="1">'b şıkkı çözümü'!$K$26:$K$31</definedName>
    <definedName name="solver_lhs5" localSheetId="0" hidden="1">'b şıkkı çözümü'!$K$26:$K$31</definedName>
    <definedName name="solver_lhs6" localSheetId="0" hidden="1">'b şıkkı çözümü'!$Q$21</definedName>
    <definedName name="solver_lhs7" localSheetId="0" hidden="1">'b şıkkı çözümü'!$L$21</definedName>
    <definedName name="solver_lhs8" localSheetId="0" hidden="1">'b şıkkı çözümü'!$V$21</definedName>
    <definedName name="solver_lhs9" localSheetId="0" hidden="1">'b şıkkı çözümü'!$B$28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11</definedName>
    <definedName name="solver_nwt" localSheetId="0" hidden="1">1</definedName>
    <definedName name="solver_opt" localSheetId="0" hidden="1">'b şıkkı çözümü'!$Q$42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'b şıkkı çözümü'!$D$36</definedName>
    <definedName name="solver_rhs10" localSheetId="0" hidden="1">'b şıkkı çözümü'!$D$20</definedName>
    <definedName name="solver_rhs11" localSheetId="0" hidden="1">'b şıkkı çözümü'!$I$21</definedName>
    <definedName name="solver_rhs2" localSheetId="0" hidden="1">'b şıkkı çözümü'!$N$27:$P$29</definedName>
    <definedName name="solver_rhs3" localSheetId="0" hidden="1">'b şıkkı çözümü'!$T$26:$V$28</definedName>
    <definedName name="solver_rhs4" localSheetId="0" hidden="1">'b şıkkı çözümü'!$H$26:$H$31</definedName>
    <definedName name="solver_rhs5" localSheetId="0" hidden="1">'b şıkkı çözümü'!$G$26:$G$31</definedName>
    <definedName name="solver_rhs6" localSheetId="0" hidden="1">'b şıkkı çözümü'!$S$21</definedName>
    <definedName name="solver_rhs7" localSheetId="0" hidden="1">'b şıkkı çözümü'!$N$21</definedName>
    <definedName name="solver_rhs8" localSheetId="0" hidden="1">'b şıkkı çözümü'!$X$21</definedName>
    <definedName name="solver_rhs9" localSheetId="0" hidden="1">'b şıkkı çözümü'!$D$28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" i="1" l="1"/>
  <c r="O42" i="1"/>
  <c r="T27" i="1"/>
  <c r="U27" i="1"/>
  <c r="V27" i="1"/>
  <c r="T28" i="1"/>
  <c r="U28" i="1"/>
  <c r="V28" i="1"/>
  <c r="U26" i="1"/>
  <c r="V26" i="1"/>
  <c r="T26" i="1"/>
  <c r="B36" i="1"/>
  <c r="B28" i="1"/>
  <c r="B20" i="1"/>
  <c r="C43" i="1"/>
  <c r="B43" i="1"/>
  <c r="A43" i="1"/>
  <c r="N28" i="1"/>
  <c r="O28" i="1"/>
  <c r="P28" i="1"/>
  <c r="N29" i="1"/>
  <c r="O29" i="1"/>
  <c r="P29" i="1"/>
  <c r="O27" i="1"/>
  <c r="P27" i="1"/>
  <c r="N27" i="1"/>
  <c r="K30" i="1"/>
  <c r="K31" i="1"/>
  <c r="K29" i="1"/>
  <c r="K28" i="1"/>
  <c r="K27" i="1"/>
  <c r="K26" i="1"/>
  <c r="E9" i="1"/>
  <c r="H26" i="1" s="1"/>
  <c r="V21" i="1"/>
  <c r="G43" i="1" s="1"/>
  <c r="Q21" i="1"/>
  <c r="F43" i="1" s="1"/>
  <c r="L21" i="1"/>
  <c r="E43" i="1" s="1"/>
  <c r="G21" i="1"/>
  <c r="D43" i="1" s="1"/>
  <c r="I21" i="1"/>
  <c r="Q42" i="1" l="1"/>
  <c r="G29" i="1"/>
  <c r="H28" i="1"/>
  <c r="G28" i="1"/>
  <c r="H27" i="1"/>
  <c r="G27" i="1"/>
  <c r="H31" i="1"/>
  <c r="G31" i="1"/>
  <c r="H30" i="1"/>
  <c r="G30" i="1"/>
  <c r="H29" i="1"/>
  <c r="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Ahmet Can</author>
  </authors>
  <commentList>
    <comment ref="E9" authorId="0" shapeId="0" xr:uid="{C5E96284-317C-4853-9B1B-49070B0DD3B5}">
      <text>
        <r>
          <rPr>
            <b/>
            <sz val="9"/>
            <color indexed="81"/>
            <rFont val="Tahoma"/>
            <family val="2"/>
            <charset val="162"/>
          </rPr>
          <t>Ahmet Can:
Toplam üretim adedi</t>
        </r>
      </text>
    </comment>
    <comment ref="F21" authorId="0" shapeId="0" xr:uid="{F9461A37-124B-448C-8734-66C451D66075}">
      <text>
        <r>
          <rPr>
            <b/>
            <sz val="9"/>
            <color indexed="81"/>
            <rFont val="Tahoma"/>
            <family val="2"/>
            <charset val="162"/>
          </rPr>
          <t>Ahmet Can:
Katsayılar, vaka metninde belirtilen kurala göre hesaplanmıştır: (Kullanılan Üretim Hattı Süresi x 2) + Montaj Süresi + Özel İşçilik Süresi.</t>
        </r>
      </text>
    </comment>
    <comment ref="F25" authorId="0" shapeId="0" xr:uid="{A2515D46-DF1D-4B81-AF86-5903CB4E6E68}">
      <text>
        <r>
          <rPr>
            <b/>
            <sz val="9"/>
            <color indexed="81"/>
            <rFont val="Tahoma"/>
            <family val="2"/>
            <charset val="162"/>
          </rPr>
          <t>Ahmet Can: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Min ve Maks sınır değerleri, vaka metni Tablo 4'te belirtilen yüzdelik kotaların, gerçekleşen 'Toplam Üretim' adedi ile çarpılmasıyla adet cinsine dönüştürülmüştür.</t>
        </r>
      </text>
    </comment>
  </commentList>
</comments>
</file>

<file path=xl/sharedStrings.xml><?xml version="1.0" encoding="utf-8"?>
<sst xmlns="http://schemas.openxmlformats.org/spreadsheetml/2006/main" count="267" uniqueCount="124">
  <si>
    <t>urban</t>
  </si>
  <si>
    <t>pro</t>
  </si>
  <si>
    <t>premium</t>
  </si>
  <si>
    <t>compact</t>
  </si>
  <si>
    <t>standart</t>
  </si>
  <si>
    <t>long range</t>
  </si>
  <si>
    <t>&lt;=</t>
  </si>
  <si>
    <t>aluminyum</t>
  </si>
  <si>
    <t>kompozit</t>
  </si>
  <si>
    <t>karbon fiber</t>
  </si>
  <si>
    <t>kategori</t>
  </si>
  <si>
    <t>min</t>
  </si>
  <si>
    <t>maks</t>
  </si>
  <si>
    <t>toplam</t>
  </si>
  <si>
    <t>Hat 1</t>
  </si>
  <si>
    <t>Hat 2</t>
  </si>
  <si>
    <t>Hat 3</t>
  </si>
  <si>
    <t>Aluminyum</t>
  </si>
  <si>
    <t>Kompozit</t>
  </si>
  <si>
    <t>Karbon</t>
  </si>
  <si>
    <t>xij</t>
  </si>
  <si>
    <t>EK SATIŞ KISITLARI</t>
  </si>
  <si>
    <t>model</t>
  </si>
  <si>
    <t>ÜRETİM KOTALARI KISITLARI</t>
  </si>
  <si>
    <t>KARAR DEĞİŞKENLERİ</t>
  </si>
  <si>
    <t>MALZEME KISITLARI (ft²)</t>
  </si>
  <si>
    <t>İŞGÜCÜ KAPASİTESİ KISITLARI (adam/dk)</t>
  </si>
  <si>
    <t>KAR DEĞERLERİ</t>
  </si>
  <si>
    <t>CEZA DEĞERLERİ</t>
  </si>
  <si>
    <t>HAZİRAN TALEPLERİ</t>
  </si>
  <si>
    <t>yij</t>
  </si>
  <si>
    <t>karşılanmayan talep</t>
  </si>
  <si>
    <t>üretim miktarı</t>
  </si>
  <si>
    <t>KARŞILANMAYAN TALEP KISITI</t>
  </si>
  <si>
    <t>KISITLAR</t>
  </si>
  <si>
    <t>standard</t>
  </si>
  <si>
    <t>HAT1</t>
  </si>
  <si>
    <t>HAT2</t>
  </si>
  <si>
    <t>HAT3</t>
  </si>
  <si>
    <t>KISIT</t>
  </si>
  <si>
    <t>HAT SÜRELERİ KISITLARI (dk)</t>
  </si>
  <si>
    <t>TABLO A</t>
  </si>
  <si>
    <t>ÜRETİM SÜRESİ (dk)</t>
  </si>
  <si>
    <t>İş Gücü Kullanımı</t>
  </si>
  <si>
    <t>MALZEME TÜKETİMİ</t>
  </si>
  <si>
    <t>(adam-dk)</t>
  </si>
  <si>
    <t>TABLO B</t>
  </si>
  <si>
    <t>SERİ</t>
  </si>
  <si>
    <t>MODEL</t>
  </si>
  <si>
    <t>Üretim (adet)</t>
  </si>
  <si>
    <t>Satış(adet)</t>
  </si>
  <si>
    <t>Stok(adet)</t>
  </si>
  <si>
    <t>TABLO C</t>
  </si>
  <si>
    <t>SATIŞ GELİRİ</t>
  </si>
  <si>
    <t>CEZA MALİYETİ</t>
  </si>
  <si>
    <t>NET KAR</t>
  </si>
  <si>
    <t>AMAÇ</t>
  </si>
  <si>
    <t xml:space="preserve">Hazırlayanlar </t>
  </si>
  <si>
    <t>ARDA KAYA – 070240733
AHMETCAN UL – 070230048
ALEYNA BAYSAL – 507251164</t>
  </si>
  <si>
    <t>Karar Değişkenleri Adlandırması</t>
  </si>
  <si>
    <t>Haziran ayında üretilen Urban serisinin Compact modeli  scooter adedi</t>
  </si>
  <si>
    <t>Haziran ayında üretilen Urban serisinin Standard modeli  scooter adedi</t>
  </si>
  <si>
    <t>Haziran ayında üretilen Urban serisinin Long Range modeli  scooter adedi</t>
  </si>
  <si>
    <t>Haziran ayında üretilen Pro serisinin Compact modeli  scooter adedi</t>
  </si>
  <si>
    <t>Haziran ayında üretilen Pro serisinin Standard modeli  scooter adedi</t>
  </si>
  <si>
    <t>Haziran ayında üretilen Pro serisinin Long Range modeli  scooter adedi</t>
  </si>
  <si>
    <t>Haziran ayında üretilen Premium serisinin Compact modeli  scooter adedi</t>
  </si>
  <si>
    <t>Haziran ayında üretilen Premium serisinin Standard modeli  scooter adedi</t>
  </si>
  <si>
    <t>Haziran ayında üretilen Premium serisinin Long Range modeli  scooter adedi</t>
  </si>
  <si>
    <t>Haziran ayında Urban serisinin Compact modeline ait karşılanamayan talep  adedi</t>
  </si>
  <si>
    <t>Haziran ayında Urban serisinin Standard modeline  ait karşılanamayan talep  adedi</t>
  </si>
  <si>
    <t>Haziran ayında Urban serisinin Long Range modeline  ait karşılanamayan talep  adedi</t>
  </si>
  <si>
    <t>Haziran ayında Pro serisinin Compact modeline  ait karşılanamayan talep  adedi</t>
  </si>
  <si>
    <t>Haziran ayında Pro serisinin Standard modeline  ait karşılanamayan talep  adedi</t>
  </si>
  <si>
    <t>Haziran ayında Pro serisinin Long Range modeline  ait karşılanamayan talep  adedi</t>
  </si>
  <si>
    <t>Haziran ayında Premium serisinin Compact modeline  ait karşılanamayan talep  adedi</t>
  </si>
  <si>
    <t>Haziran ayında Premium serisinin Standard modeline  ait karşılanamayan talep  adedi</t>
  </si>
  <si>
    <t>Haziran ayında Premium serisinin Long Range modeline  ait karşılanamayan talep  adedi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</si>
  <si>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</si>
  <si>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</si>
  <si>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</si>
  <si>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</si>
  <si>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</si>
  <si>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</si>
  <si>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</si>
  <si>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</si>
  <si>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</si>
  <si>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y11</t>
  </si>
  <si>
    <t>y12</t>
  </si>
  <si>
    <t>y13</t>
  </si>
  <si>
    <t>y21</t>
  </si>
  <si>
    <t>y22</t>
  </si>
  <si>
    <t>y23</t>
  </si>
  <si>
    <t>y31</t>
  </si>
  <si>
    <t>y32</t>
  </si>
  <si>
    <t>y33</t>
  </si>
  <si>
    <t>seri/model</t>
  </si>
  <si>
    <t>Tablo D</t>
  </si>
  <si>
    <t xml:space="preserve">Aylar </t>
  </si>
  <si>
    <t>Haziran</t>
  </si>
  <si>
    <t>Temmuz</t>
  </si>
  <si>
    <t>Ağustos</t>
  </si>
  <si>
    <t>Üretim Süresi (dk)</t>
  </si>
  <si>
    <t>İş Gücü Kullanımı (adam- dk)</t>
  </si>
  <si>
    <t>Malzeme Tüketimi</t>
  </si>
  <si>
    <t>Hat3</t>
  </si>
  <si>
    <t>Alüminyum</t>
  </si>
  <si>
    <t>Kompozit Panel</t>
  </si>
  <si>
    <t>Karbon Fiber Levha</t>
  </si>
  <si>
    <t>Tablo E</t>
  </si>
  <si>
    <t>URBAN</t>
  </si>
  <si>
    <t>COMPACT</t>
  </si>
  <si>
    <t>STANDARD</t>
  </si>
  <si>
    <t>LONG RANGE</t>
  </si>
  <si>
    <t>PRO</t>
  </si>
  <si>
    <t>PREMİUM</t>
  </si>
  <si>
    <t>Tablo F</t>
  </si>
  <si>
    <t>Aylar</t>
  </si>
  <si>
    <t>Satış Geliri ($)</t>
  </si>
  <si>
    <t xml:space="preserve">Karşılanmayan talep ceza maliyeti ($) </t>
  </si>
  <si>
    <t>Stok Maliyeti ($)</t>
  </si>
  <si>
    <t>Üretim hızı değişim maliyeti ($)</t>
  </si>
  <si>
    <t>Net Kar ($)</t>
  </si>
  <si>
    <t xml:space="preserve">Toplam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</si>
</sst>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1E1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10" borderId="1" xfId="0" applyFill="1" applyBorder="1"/>
    <xf numFmtId="3" fontId="0" fillId="10" borderId="1" xfId="0" applyNumberFormat="1" applyFill="1" applyBorder="1"/>
    <xf numFmtId="0" fontId="0" fillId="10" borderId="3" xfId="0" applyFill="1" applyBorder="1"/>
    <xf numFmtId="0" fontId="0" fillId="10" borderId="2" xfId="0" applyFill="1" applyBorder="1"/>
    <xf numFmtId="0" fontId="0" fillId="11" borderId="0" xfId="0" applyFill="1"/>
    <xf numFmtId="3" fontId="0" fillId="11" borderId="0" xfId="0" applyNumberFormat="1" applyFill="1"/>
    <xf numFmtId="2" fontId="0" fillId="11" borderId="1" xfId="0" applyNumberFormat="1" applyFill="1" applyBorder="1"/>
    <xf numFmtId="2" fontId="0" fillId="11" borderId="0" xfId="0" applyNumberFormat="1" applyFill="1"/>
    <xf numFmtId="2" fontId="0" fillId="0" borderId="0" xfId="0" applyNumberFormat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2" borderId="3" xfId="0" applyFill="1" applyBorder="1"/>
    <xf numFmtId="0" fontId="0" fillId="12" borderId="4" xfId="0" applyFill="1" applyBorder="1"/>
    <xf numFmtId="3" fontId="0" fillId="12" borderId="4" xfId="0" applyNumberFormat="1" applyFill="1" applyBorder="1"/>
    <xf numFmtId="3" fontId="0" fillId="12" borderId="5" xfId="0" applyNumberFormat="1" applyFill="1" applyBorder="1"/>
    <xf numFmtId="0" fontId="0" fillId="12" borderId="1" xfId="0" applyFill="1" applyBorder="1"/>
    <xf numFmtId="3" fontId="0" fillId="12" borderId="1" xfId="0" applyNumberFormat="1" applyFill="1" applyBorder="1"/>
    <xf numFmtId="3" fontId="0" fillId="13" borderId="1" xfId="0" applyNumberFormat="1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3" fontId="0" fillId="14" borderId="3" xfId="0" applyNumberFormat="1" applyFill="1" applyBorder="1"/>
    <xf numFmtId="0" fontId="0" fillId="14" borderId="4" xfId="0" applyFill="1" applyBorder="1"/>
    <xf numFmtId="3" fontId="0" fillId="14" borderId="5" xfId="0" applyNumberFormat="1" applyFill="1" applyBorder="1"/>
    <xf numFmtId="3" fontId="0" fillId="14" borderId="1" xfId="0" applyNumberFormat="1" applyFill="1" applyBorder="1"/>
    <xf numFmtId="0" fontId="0" fillId="14" borderId="1" xfId="0" applyFill="1" applyBorder="1"/>
    <xf numFmtId="2" fontId="0" fillId="14" borderId="1" xfId="0" applyNumberFormat="1" applyFill="1" applyBorder="1"/>
    <xf numFmtId="0" fontId="0" fillId="10" borderId="4" xfId="0" applyFill="1" applyBorder="1"/>
    <xf numFmtId="0" fontId="0" fillId="15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12" xfId="0" applyFill="1" applyBorder="1"/>
    <xf numFmtId="0" fontId="0" fillId="15" borderId="13" xfId="0" applyFill="1" applyBorder="1" applyAlignment="1">
      <alignment wrapText="1"/>
    </xf>
    <xf numFmtId="0" fontId="0" fillId="18" borderId="0" xfId="0" applyFill="1"/>
    <xf numFmtId="0" fontId="0" fillId="13" borderId="1" xfId="0" applyFill="1" applyBorder="1"/>
    <xf numFmtId="0" fontId="0" fillId="8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0" fillId="5" borderId="1" xfId="0" applyFill="1" applyBorder="1" applyAlignment="1">
      <alignment wrapText="1"/>
    </xf>
    <xf numFmtId="0" fontId="0" fillId="19" borderId="1" xfId="0" applyFill="1" applyBorder="1"/>
    <xf numFmtId="0" fontId="0" fillId="19" borderId="1" xfId="0" applyFill="1" applyBorder="1" applyAlignment="1">
      <alignment wrapText="1"/>
    </xf>
    <xf numFmtId="0" fontId="0" fillId="20" borderId="0" xfId="0" applyFill="1"/>
    <xf numFmtId="2" fontId="0" fillId="13" borderId="1" xfId="0" applyNumberFormat="1" applyFill="1" applyBorder="1"/>
    <xf numFmtId="2" fontId="0" fillId="20" borderId="1" xfId="0" applyNumberFormat="1" applyFill="1" applyBorder="1"/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5" borderId="9" xfId="0" applyFill="1" applyBorder="1" applyAlignment="1">
      <alignment horizontal="center" wrapText="1"/>
    </xf>
    <xf numFmtId="0" fontId="0" fillId="15" borderId="10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6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4" fontId="0" fillId="18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119743</xdr:rowOff>
    </xdr:to>
    <xdr:sp macro="" textlink="">
      <xdr:nvSpPr>
        <xdr:cNvPr id="3073" name="AutoShape 1" descr="Seçilen resim, lightbox'ta gösteriliyor.">
          <a:extLst>
            <a:ext uri="{FF2B5EF4-FFF2-40B4-BE49-F238E27FC236}">
              <a16:creationId xmlns:a16="http://schemas.microsoft.com/office/drawing/2014/main" id="{F8925FFC-7052-2914-8B2F-353475ABA6AF}"/>
            </a:ext>
          </a:extLst>
        </xdr:cNvPr>
        <xdr:cNvSpPr>
          <a:spLocks noChangeAspect="1" noChangeArrowheads="1"/>
        </xdr:cNvSpPr>
      </xdr:nvSpPr>
      <xdr:spPr bwMode="auto">
        <a:xfrm>
          <a:off x="13312140" y="364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119742</xdr:rowOff>
    </xdr:to>
    <xdr:sp macro="" textlink="">
      <xdr:nvSpPr>
        <xdr:cNvPr id="3074" name="AutoShape 2" descr="Seçilen resim, lightbox'ta gösteriliyor.">
          <a:extLst>
            <a:ext uri="{FF2B5EF4-FFF2-40B4-BE49-F238E27FC236}">
              <a16:creationId xmlns:a16="http://schemas.microsoft.com/office/drawing/2014/main" id="{09691E2E-EBB1-D034-3A46-E6D133D1B42D}"/>
            </a:ext>
          </a:extLst>
        </xdr:cNvPr>
        <xdr:cNvSpPr>
          <a:spLocks noChangeAspect="1" noChangeArrowheads="1"/>
        </xdr:cNvSpPr>
      </xdr:nvSpPr>
      <xdr:spPr bwMode="auto">
        <a:xfrm>
          <a:off x="12009120" y="27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8</xdr:row>
      <xdr:rowOff>0</xdr:rowOff>
    </xdr:from>
    <xdr:ext cx="304800" cy="304800"/>
    <xdr:sp macro="" textlink="">
      <xdr:nvSpPr>
        <xdr:cNvPr id="4" name="AutoShape 2" descr="Seçilen resim, lightbox'ta gösteriliyor.">
          <a:extLst>
            <a:ext uri="{FF2B5EF4-FFF2-40B4-BE49-F238E27FC236}">
              <a16:creationId xmlns:a16="http://schemas.microsoft.com/office/drawing/2014/main" id="{B0B6B3D4-773F-4302-A8AA-8ED2F55C0558}"/>
            </a:ext>
          </a:extLst>
        </xdr:cNvPr>
        <xdr:cNvSpPr>
          <a:spLocks noChangeAspect="1" noChangeArrowheads="1"/>
        </xdr:cNvSpPr>
      </xdr:nvSpPr>
      <xdr:spPr bwMode="auto">
        <a:xfrm>
          <a:off x="120069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DFD0-7E5B-4024-9085-DAB98C0F4D9B}">
  <dimension ref="A1:AA66"/>
  <sheetViews>
    <sheetView tabSelected="1" zoomScale="60" zoomScaleNormal="60" workbookViewId="0">
      <selection activeCell="P46" sqref="P46"/>
    </sheetView>
  </sheetViews>
  <sheetFormatPr defaultRowHeight="14.4" x14ac:dyDescent="0.3"/>
  <cols>
    <col min="1" max="1" width="14.5546875" bestFit="1" customWidth="1"/>
    <col min="3" max="3" width="13.21875" customWidth="1"/>
    <col min="4" max="4" width="18.88671875" customWidth="1"/>
    <col min="5" max="5" width="14.6640625" customWidth="1"/>
    <col min="6" max="6" width="11" bestFit="1" customWidth="1"/>
    <col min="10" max="10" width="11.33203125" customWidth="1"/>
    <col min="11" max="11" width="16.109375" bestFit="1" customWidth="1"/>
    <col min="12" max="12" width="16.5546875" customWidth="1"/>
    <col min="15" max="15" width="13.5546875" customWidth="1"/>
    <col min="16" max="16" width="14.6640625" bestFit="1" customWidth="1"/>
    <col min="18" max="18" width="11.77734375" customWidth="1"/>
    <col min="20" max="20" width="16.21875" customWidth="1"/>
    <col min="21" max="21" width="14.5546875" customWidth="1"/>
    <col min="22" max="22" width="20.6640625" customWidth="1"/>
    <col min="23" max="24" width="12.109375" bestFit="1" customWidth="1"/>
  </cols>
  <sheetData>
    <row r="1" spans="1:27" x14ac:dyDescent="0.3">
      <c r="A1" s="73" t="s">
        <v>57</v>
      </c>
      <c r="B1" s="74"/>
      <c r="C1" s="75"/>
    </row>
    <row r="2" spans="1:27" ht="49.8" customHeight="1" thickBot="1" x14ac:dyDescent="0.35">
      <c r="A2" s="76" t="s">
        <v>58</v>
      </c>
      <c r="B2" s="77"/>
      <c r="C2" s="78"/>
    </row>
    <row r="3" spans="1:27" x14ac:dyDescent="0.3">
      <c r="C3" s="19"/>
      <c r="D3" s="19"/>
      <c r="E3" s="20"/>
      <c r="F3" s="19"/>
      <c r="G3" s="19"/>
    </row>
    <row r="4" spans="1:27" x14ac:dyDescent="0.3">
      <c r="A4" s="22"/>
      <c r="B4" s="23"/>
      <c r="C4" s="23"/>
      <c r="D4" s="24" t="s">
        <v>24</v>
      </c>
      <c r="E4" s="24"/>
      <c r="F4" s="23"/>
      <c r="G4" s="23"/>
      <c r="H4" s="23"/>
      <c r="I4" s="23"/>
      <c r="J4" s="25"/>
    </row>
    <row r="5" spans="1:27" x14ac:dyDescent="0.3">
      <c r="B5" s="21" t="s">
        <v>32</v>
      </c>
      <c r="C5" s="21"/>
      <c r="E5" s="2"/>
      <c r="H5" s="21" t="s">
        <v>31</v>
      </c>
      <c r="I5" s="21"/>
      <c r="M5" s="7" t="s">
        <v>27</v>
      </c>
      <c r="N5" s="7"/>
      <c r="R5" s="15" t="s">
        <v>28</v>
      </c>
      <c r="S5" s="15"/>
      <c r="W5" s="17" t="s">
        <v>29</v>
      </c>
      <c r="X5" s="17"/>
    </row>
    <row r="6" spans="1:27" x14ac:dyDescent="0.3">
      <c r="A6" s="11" t="s">
        <v>20</v>
      </c>
      <c r="B6" s="11" t="s">
        <v>0</v>
      </c>
      <c r="C6" s="11" t="s">
        <v>1</v>
      </c>
      <c r="D6" s="11" t="s">
        <v>2</v>
      </c>
      <c r="G6" s="11" t="s">
        <v>30</v>
      </c>
      <c r="H6" s="11" t="s">
        <v>0</v>
      </c>
      <c r="I6" s="11" t="s">
        <v>1</v>
      </c>
      <c r="J6" s="11" t="s">
        <v>2</v>
      </c>
      <c r="L6" s="7" t="s">
        <v>22</v>
      </c>
      <c r="M6" s="7" t="s">
        <v>0</v>
      </c>
      <c r="N6" s="7" t="s">
        <v>1</v>
      </c>
      <c r="O6" s="7" t="s">
        <v>2</v>
      </c>
      <c r="Q6" s="15" t="s">
        <v>22</v>
      </c>
      <c r="R6" s="15" t="s">
        <v>0</v>
      </c>
      <c r="S6" s="15" t="s">
        <v>1</v>
      </c>
      <c r="T6" s="15" t="s">
        <v>2</v>
      </c>
      <c r="V6" s="17" t="s">
        <v>22</v>
      </c>
      <c r="W6" s="17" t="s">
        <v>0</v>
      </c>
      <c r="X6" s="17" t="s">
        <v>1</v>
      </c>
      <c r="Y6" s="17" t="s">
        <v>2</v>
      </c>
      <c r="AA6" s="1"/>
    </row>
    <row r="7" spans="1:27" x14ac:dyDescent="0.3">
      <c r="A7" s="11" t="s">
        <v>3</v>
      </c>
      <c r="B7" s="12">
        <v>935.00000000000011</v>
      </c>
      <c r="C7" s="12">
        <v>0</v>
      </c>
      <c r="D7" s="12">
        <v>55.000000000000007</v>
      </c>
      <c r="G7" s="11" t="s">
        <v>3</v>
      </c>
      <c r="H7" s="12">
        <v>564.99999999999909</v>
      </c>
      <c r="I7" s="12">
        <v>800.00000000000023</v>
      </c>
      <c r="J7" s="12">
        <v>0</v>
      </c>
      <c r="L7" s="7" t="s">
        <v>3</v>
      </c>
      <c r="M7" s="8">
        <v>20</v>
      </c>
      <c r="N7" s="8">
        <v>50</v>
      </c>
      <c r="O7" s="8">
        <v>100</v>
      </c>
      <c r="Q7" s="15" t="s">
        <v>3</v>
      </c>
      <c r="R7" s="16">
        <v>24</v>
      </c>
      <c r="S7" s="16">
        <v>36</v>
      </c>
      <c r="T7" s="16">
        <v>48</v>
      </c>
      <c r="V7" s="17" t="s">
        <v>3</v>
      </c>
      <c r="W7" s="18">
        <v>1500</v>
      </c>
      <c r="X7" s="18">
        <v>800</v>
      </c>
      <c r="Y7" s="18">
        <v>50</v>
      </c>
    </row>
    <row r="8" spans="1:27" x14ac:dyDescent="0.3">
      <c r="A8" s="11" t="s">
        <v>4</v>
      </c>
      <c r="B8" s="12">
        <v>350.00000000000011</v>
      </c>
      <c r="C8" s="12">
        <v>2770.0000000000014</v>
      </c>
      <c r="D8" s="12">
        <v>330</v>
      </c>
      <c r="G8" s="11" t="s">
        <v>4</v>
      </c>
      <c r="H8" s="12">
        <v>2650</v>
      </c>
      <c r="I8" s="12">
        <v>229.999999999995</v>
      </c>
      <c r="J8" s="12">
        <v>0</v>
      </c>
      <c r="L8" s="7" t="s">
        <v>4</v>
      </c>
      <c r="M8" s="8">
        <v>30</v>
      </c>
      <c r="N8" s="8">
        <v>80</v>
      </c>
      <c r="O8" s="8">
        <v>250</v>
      </c>
      <c r="Q8" s="15" t="s">
        <v>4</v>
      </c>
      <c r="R8" s="16">
        <v>60</v>
      </c>
      <c r="S8" s="16">
        <v>96</v>
      </c>
      <c r="T8" s="16">
        <v>150</v>
      </c>
      <c r="V8" s="17" t="s">
        <v>4</v>
      </c>
      <c r="W8" s="18">
        <v>3000</v>
      </c>
      <c r="X8" s="18">
        <v>3000</v>
      </c>
      <c r="Y8" s="18">
        <v>300</v>
      </c>
    </row>
    <row r="9" spans="1:27" x14ac:dyDescent="0.3">
      <c r="A9" s="11" t="s">
        <v>5</v>
      </c>
      <c r="B9" s="12">
        <v>199.99999999999997</v>
      </c>
      <c r="C9" s="12">
        <v>200</v>
      </c>
      <c r="D9" s="12">
        <v>110.00000000000001</v>
      </c>
      <c r="E9" s="12">
        <f>SUM(B7:D9)</f>
        <v>4950.0000000000018</v>
      </c>
      <c r="G9" s="11" t="s">
        <v>5</v>
      </c>
      <c r="H9" s="12">
        <v>0</v>
      </c>
      <c r="I9" s="12">
        <v>0</v>
      </c>
      <c r="J9" s="12">
        <v>0</v>
      </c>
      <c r="L9" s="7" t="s">
        <v>5</v>
      </c>
      <c r="M9" s="8">
        <v>40</v>
      </c>
      <c r="N9" s="8">
        <v>125</v>
      </c>
      <c r="O9" s="8">
        <v>325</v>
      </c>
      <c r="Q9" s="15" t="s">
        <v>5</v>
      </c>
      <c r="R9" s="16">
        <v>120</v>
      </c>
      <c r="S9" s="16">
        <v>300</v>
      </c>
      <c r="T9" s="16">
        <v>390</v>
      </c>
      <c r="V9" s="17" t="s">
        <v>5</v>
      </c>
      <c r="W9" s="18">
        <v>200</v>
      </c>
      <c r="X9" s="18">
        <v>200</v>
      </c>
      <c r="Y9" s="18">
        <v>100</v>
      </c>
      <c r="AA9" s="2"/>
    </row>
    <row r="10" spans="1:27" x14ac:dyDescent="0.3">
      <c r="B10" s="2"/>
      <c r="C10" s="2"/>
      <c r="U10" s="2"/>
      <c r="V10" s="2"/>
      <c r="W10" s="2"/>
      <c r="X10" s="2"/>
    </row>
    <row r="11" spans="1:27" x14ac:dyDescent="0.3">
      <c r="E11" s="2"/>
      <c r="U11" s="2"/>
      <c r="V11" s="2"/>
      <c r="W11" s="2"/>
      <c r="X11" s="2"/>
    </row>
    <row r="12" spans="1:27" x14ac:dyDescent="0.3">
      <c r="A12" s="38"/>
      <c r="B12" s="39"/>
      <c r="C12" s="39"/>
      <c r="D12" s="39"/>
      <c r="E12" s="40"/>
      <c r="F12" s="39"/>
      <c r="G12" s="39"/>
      <c r="H12" s="39"/>
      <c r="I12" s="39"/>
      <c r="J12" s="39" t="s">
        <v>34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40"/>
      <c r="V12" s="40"/>
      <c r="W12" s="39"/>
      <c r="X12" s="41"/>
    </row>
    <row r="13" spans="1:27" x14ac:dyDescent="0.3">
      <c r="U13" s="2"/>
      <c r="V13" s="2"/>
      <c r="X13" s="2"/>
    </row>
    <row r="14" spans="1:27" x14ac:dyDescent="0.3">
      <c r="A14" s="35" t="s">
        <v>40</v>
      </c>
      <c r="B14" s="36"/>
      <c r="C14" s="36"/>
      <c r="D14" s="37"/>
    </row>
    <row r="15" spans="1:27" x14ac:dyDescent="0.3">
      <c r="A15" s="33" t="s">
        <v>36</v>
      </c>
      <c r="B15" s="34"/>
      <c r="C15" s="34"/>
      <c r="D15" s="34"/>
      <c r="F15" s="5" t="s">
        <v>26</v>
      </c>
      <c r="G15" s="5"/>
      <c r="H15" s="5"/>
      <c r="I15" s="5"/>
      <c r="Q15" s="3" t="s">
        <v>25</v>
      </c>
      <c r="R15" s="3"/>
      <c r="S15" s="3"/>
    </row>
    <row r="16" spans="1:27" x14ac:dyDescent="0.3">
      <c r="A16" s="32"/>
      <c r="B16" s="32" t="s">
        <v>0</v>
      </c>
      <c r="C16" s="32" t="s">
        <v>1</v>
      </c>
      <c r="D16" s="32" t="s">
        <v>2</v>
      </c>
      <c r="F16" s="5" t="s">
        <v>96</v>
      </c>
      <c r="G16" s="5" t="s">
        <v>0</v>
      </c>
      <c r="H16" s="5" t="s">
        <v>1</v>
      </c>
      <c r="I16" s="5" t="s">
        <v>2</v>
      </c>
      <c r="K16" s="3" t="s">
        <v>7</v>
      </c>
      <c r="L16" s="3" t="s">
        <v>0</v>
      </c>
      <c r="M16" s="3" t="s">
        <v>1</v>
      </c>
      <c r="N16" s="3" t="s">
        <v>2</v>
      </c>
      <c r="O16" s="3"/>
      <c r="P16" s="3" t="s">
        <v>8</v>
      </c>
      <c r="Q16" s="3" t="s">
        <v>0</v>
      </c>
      <c r="R16" s="3" t="s">
        <v>1</v>
      </c>
      <c r="S16" s="3" t="s">
        <v>2</v>
      </c>
      <c r="T16" s="3"/>
      <c r="U16" s="3" t="s">
        <v>9</v>
      </c>
      <c r="V16" s="3" t="s">
        <v>0</v>
      </c>
      <c r="W16" s="3" t="s">
        <v>1</v>
      </c>
      <c r="X16" s="3" t="s">
        <v>2</v>
      </c>
    </row>
    <row r="17" spans="1:24" x14ac:dyDescent="0.3">
      <c r="A17" s="32" t="s">
        <v>3</v>
      </c>
      <c r="B17" s="32">
        <v>1.5</v>
      </c>
      <c r="C17" s="32">
        <v>0</v>
      </c>
      <c r="D17" s="32">
        <v>0</v>
      </c>
      <c r="F17" s="5" t="s">
        <v>3</v>
      </c>
      <c r="G17" s="6">
        <v>15</v>
      </c>
      <c r="H17" s="6">
        <v>23</v>
      </c>
      <c r="I17" s="6">
        <v>76</v>
      </c>
      <c r="K17" s="4" t="s">
        <v>3</v>
      </c>
      <c r="L17" s="4">
        <v>14</v>
      </c>
      <c r="M17" s="4">
        <v>0</v>
      </c>
      <c r="N17" s="4">
        <v>0</v>
      </c>
      <c r="O17" s="4"/>
      <c r="P17" s="4" t="s">
        <v>3</v>
      </c>
      <c r="Q17" s="4">
        <v>8</v>
      </c>
      <c r="R17" s="4">
        <v>0</v>
      </c>
      <c r="S17" s="4">
        <v>0</v>
      </c>
      <c r="T17" s="4"/>
      <c r="U17" s="4" t="s">
        <v>3</v>
      </c>
      <c r="V17" s="4">
        <v>0</v>
      </c>
      <c r="W17" s="4">
        <v>22</v>
      </c>
      <c r="X17" s="4">
        <v>25</v>
      </c>
    </row>
    <row r="18" spans="1:24" x14ac:dyDescent="0.3">
      <c r="A18" s="32" t="s">
        <v>35</v>
      </c>
      <c r="B18" s="32">
        <v>2</v>
      </c>
      <c r="C18" s="32">
        <v>0</v>
      </c>
      <c r="D18" s="32">
        <v>0</v>
      </c>
      <c r="F18" s="5" t="s">
        <v>4</v>
      </c>
      <c r="G18" s="6">
        <v>17</v>
      </c>
      <c r="H18" s="6">
        <v>28</v>
      </c>
      <c r="I18" s="6">
        <v>93</v>
      </c>
      <c r="K18" s="4" t="s">
        <v>4</v>
      </c>
      <c r="L18" s="4">
        <v>24</v>
      </c>
      <c r="M18" s="4">
        <v>0</v>
      </c>
      <c r="N18" s="4">
        <v>0</v>
      </c>
      <c r="O18" s="4"/>
      <c r="P18" s="4" t="s">
        <v>4</v>
      </c>
      <c r="Q18" s="4">
        <v>15</v>
      </c>
      <c r="R18" s="4">
        <v>0</v>
      </c>
      <c r="S18" s="4">
        <v>0</v>
      </c>
      <c r="T18" s="4"/>
      <c r="U18" s="4" t="s">
        <v>4</v>
      </c>
      <c r="V18" s="4">
        <v>0</v>
      </c>
      <c r="W18" s="4">
        <v>40</v>
      </c>
      <c r="X18" s="4">
        <v>45</v>
      </c>
    </row>
    <row r="19" spans="1:24" x14ac:dyDescent="0.3">
      <c r="A19" s="32" t="s">
        <v>5</v>
      </c>
      <c r="B19" s="32">
        <v>2.5</v>
      </c>
      <c r="C19" s="32">
        <v>0</v>
      </c>
      <c r="D19" s="32">
        <v>0</v>
      </c>
      <c r="F19" s="5" t="s">
        <v>5</v>
      </c>
      <c r="G19" s="6">
        <v>19</v>
      </c>
      <c r="H19" s="6">
        <v>32</v>
      </c>
      <c r="I19" s="6">
        <v>110</v>
      </c>
      <c r="K19" s="4" t="s">
        <v>5</v>
      </c>
      <c r="L19" s="4">
        <v>30</v>
      </c>
      <c r="M19" s="4">
        <v>0</v>
      </c>
      <c r="N19" s="4">
        <v>0</v>
      </c>
      <c r="O19" s="4"/>
      <c r="P19" s="4" t="s">
        <v>5</v>
      </c>
      <c r="Q19" s="4">
        <v>24</v>
      </c>
      <c r="R19" s="4">
        <v>0</v>
      </c>
      <c r="S19" s="4">
        <v>0</v>
      </c>
      <c r="T19" s="4"/>
      <c r="U19" s="4" t="s">
        <v>5</v>
      </c>
      <c r="V19" s="4">
        <v>0</v>
      </c>
      <c r="W19" s="4">
        <v>55</v>
      </c>
      <c r="X19" s="4">
        <v>60</v>
      </c>
    </row>
    <row r="20" spans="1:24" x14ac:dyDescent="0.3">
      <c r="A20" s="33" t="s">
        <v>39</v>
      </c>
      <c r="B20" s="33">
        <f>SUMPRODUCT(B7:D9,B17:D19)</f>
        <v>2602.5000000000005</v>
      </c>
      <c r="C20" s="33" t="s">
        <v>6</v>
      </c>
      <c r="D20" s="33">
        <v>9600</v>
      </c>
      <c r="E20" s="2"/>
      <c r="F20" s="5"/>
      <c r="G20" s="6"/>
      <c r="H20" s="6"/>
      <c r="I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">
      <c r="A21" s="34"/>
      <c r="C21" s="34"/>
      <c r="D21" s="34"/>
      <c r="E21" s="2"/>
      <c r="F21" s="5"/>
      <c r="G21" s="6">
        <f>SUMPRODUCT(G17:I19,$B$7:$D$9)</f>
        <v>154705.00000000006</v>
      </c>
      <c r="H21" s="6" t="s">
        <v>6</v>
      </c>
      <c r="I21" s="6">
        <f>4096*60</f>
        <v>245760</v>
      </c>
      <c r="K21" s="4"/>
      <c r="L21" s="4">
        <f>SUMPRODUCT(L17:N19,$B$7:$D$9)</f>
        <v>27490.000000000007</v>
      </c>
      <c r="M21" s="4" t="s">
        <v>6</v>
      </c>
      <c r="N21" s="4">
        <v>78000</v>
      </c>
      <c r="O21" s="4"/>
      <c r="P21" s="4"/>
      <c r="Q21" s="4">
        <f>SUMPRODUCT(Q17:S19,$B$7:$D$9)</f>
        <v>17530.000000000004</v>
      </c>
      <c r="R21" s="4" t="s">
        <v>6</v>
      </c>
      <c r="S21" s="4">
        <v>72000</v>
      </c>
      <c r="T21" s="4"/>
      <c r="U21" s="4"/>
      <c r="V21" s="4">
        <f>SUMPRODUCT(V17:X19,$B$7:$D$9)</f>
        <v>144625.00000000006</v>
      </c>
      <c r="W21" s="4" t="s">
        <v>6</v>
      </c>
      <c r="X21" s="4">
        <v>210000</v>
      </c>
    </row>
    <row r="22" spans="1:24" x14ac:dyDescent="0.3">
      <c r="A22" s="34"/>
      <c r="C22" s="34"/>
      <c r="D22" s="34"/>
      <c r="E22" s="2"/>
    </row>
    <row r="23" spans="1:24" x14ac:dyDescent="0.3">
      <c r="A23" s="32" t="s">
        <v>37</v>
      </c>
      <c r="B23" s="34"/>
      <c r="C23" s="34"/>
      <c r="D23" s="34"/>
      <c r="E23" s="2"/>
    </row>
    <row r="24" spans="1:24" s="2" customFormat="1" x14ac:dyDescent="0.3">
      <c r="A24" s="32"/>
      <c r="B24" s="32" t="s">
        <v>0</v>
      </c>
      <c r="C24" s="32" t="s">
        <v>1</v>
      </c>
      <c r="D24" s="32" t="s">
        <v>2</v>
      </c>
      <c r="F24"/>
      <c r="G24" s="13" t="s">
        <v>23</v>
      </c>
      <c r="H24" s="13"/>
      <c r="I24" s="13"/>
      <c r="J24"/>
      <c r="K24"/>
      <c r="R24"/>
      <c r="S24" s="38" t="s">
        <v>33</v>
      </c>
      <c r="T24" s="39"/>
      <c r="U24" s="40"/>
      <c r="V24" s="41"/>
    </row>
    <row r="25" spans="1:24" s="2" customFormat="1" x14ac:dyDescent="0.3">
      <c r="A25" s="32" t="s">
        <v>3</v>
      </c>
      <c r="B25" s="32">
        <v>1</v>
      </c>
      <c r="C25" s="32">
        <v>1</v>
      </c>
      <c r="D25" s="32">
        <v>0</v>
      </c>
      <c r="F25" s="13" t="s">
        <v>10</v>
      </c>
      <c r="G25" s="13" t="s">
        <v>11</v>
      </c>
      <c r="H25" s="13" t="s">
        <v>12</v>
      </c>
      <c r="I25" s="13"/>
      <c r="J25" s="13" t="s">
        <v>10</v>
      </c>
      <c r="K25" s="13" t="s">
        <v>13</v>
      </c>
      <c r="M25"/>
      <c r="N25" s="9" t="s">
        <v>21</v>
      </c>
      <c r="O25" s="9"/>
      <c r="P25"/>
      <c r="R25"/>
      <c r="S25" s="42" t="s">
        <v>30</v>
      </c>
      <c r="T25" s="42" t="s">
        <v>0</v>
      </c>
      <c r="U25" s="42" t="s">
        <v>1</v>
      </c>
      <c r="V25" s="42" t="s">
        <v>2</v>
      </c>
    </row>
    <row r="26" spans="1:24" s="2" customFormat="1" x14ac:dyDescent="0.3">
      <c r="A26" s="32" t="s">
        <v>35</v>
      </c>
      <c r="B26" s="32">
        <v>1</v>
      </c>
      <c r="C26" s="32">
        <v>1</v>
      </c>
      <c r="D26" s="32">
        <v>0</v>
      </c>
      <c r="F26" s="13" t="s">
        <v>0</v>
      </c>
      <c r="G26" s="13">
        <f>E9*0.2</f>
        <v>990.00000000000045</v>
      </c>
      <c r="H26" s="13">
        <f>E9*0.5</f>
        <v>2475.0000000000009</v>
      </c>
      <c r="I26" s="13"/>
      <c r="J26" s="13" t="s">
        <v>0</v>
      </c>
      <c r="K26" s="14">
        <f>SUM(B7:B9)</f>
        <v>1485.0000000000002</v>
      </c>
      <c r="M26" s="9" t="s">
        <v>22</v>
      </c>
      <c r="N26" s="9" t="s">
        <v>0</v>
      </c>
      <c r="O26" s="9" t="s">
        <v>1</v>
      </c>
      <c r="P26" s="9" t="s">
        <v>2</v>
      </c>
      <c r="R26"/>
      <c r="S26" s="42" t="s">
        <v>3</v>
      </c>
      <c r="T26" s="43">
        <f>W7-B7</f>
        <v>564.99999999999989</v>
      </c>
      <c r="U26" s="43">
        <f t="shared" ref="U26:V26" si="0">X7-C7</f>
        <v>800</v>
      </c>
      <c r="V26" s="43">
        <f t="shared" si="0"/>
        <v>-5.0000000000000071</v>
      </c>
    </row>
    <row r="27" spans="1:24" s="2" customFormat="1" x14ac:dyDescent="0.3">
      <c r="A27" s="32" t="s">
        <v>5</v>
      </c>
      <c r="B27" s="32">
        <v>1</v>
      </c>
      <c r="C27" s="32">
        <v>1</v>
      </c>
      <c r="D27" s="32">
        <v>0</v>
      </c>
      <c r="F27" s="13" t="s">
        <v>1</v>
      </c>
      <c r="G27" s="13">
        <f>E9*0.4</f>
        <v>1980.0000000000009</v>
      </c>
      <c r="H27" s="13">
        <f>E9*0.6</f>
        <v>2970.0000000000009</v>
      </c>
      <c r="I27" s="13"/>
      <c r="J27" s="13" t="s">
        <v>1</v>
      </c>
      <c r="K27" s="14">
        <f>SUM(C7:C9)</f>
        <v>2970.0000000000014</v>
      </c>
      <c r="L27"/>
      <c r="M27" s="9" t="s">
        <v>3</v>
      </c>
      <c r="N27" s="10">
        <f t="shared" ref="N27:P29" si="1">W7*1.1</f>
        <v>1650.0000000000002</v>
      </c>
      <c r="O27" s="10">
        <f t="shared" si="1"/>
        <v>880.00000000000011</v>
      </c>
      <c r="P27" s="10">
        <f t="shared" si="1"/>
        <v>55.000000000000007</v>
      </c>
      <c r="R27"/>
      <c r="S27" s="42" t="s">
        <v>4</v>
      </c>
      <c r="T27" s="43">
        <f t="shared" ref="T27:T28" si="2">W8-B8</f>
        <v>2650</v>
      </c>
      <c r="U27" s="43">
        <f t="shared" ref="U27:U28" si="3">X8-C8</f>
        <v>229.99999999999864</v>
      </c>
      <c r="V27" s="43">
        <f t="shared" ref="V27:V28" si="4">Y8-D8</f>
        <v>-30</v>
      </c>
    </row>
    <row r="28" spans="1:24" s="2" customFormat="1" x14ac:dyDescent="0.3">
      <c r="A28" s="31" t="s">
        <v>39</v>
      </c>
      <c r="B28" s="33">
        <f>SUMPRODUCT(B7:D9,B25:D27)</f>
        <v>4455.0000000000018</v>
      </c>
      <c r="C28" s="33" t="s">
        <v>6</v>
      </c>
      <c r="D28" s="33">
        <v>9600</v>
      </c>
      <c r="F28" s="13" t="s">
        <v>2</v>
      </c>
      <c r="G28" s="13">
        <f>E9*0.1</f>
        <v>495.00000000000023</v>
      </c>
      <c r="H28" s="13">
        <f>E9*0.2</f>
        <v>990.00000000000045</v>
      </c>
      <c r="I28" s="13"/>
      <c r="J28" s="13" t="s">
        <v>2</v>
      </c>
      <c r="K28" s="14">
        <f>SUM(D7:D9)</f>
        <v>495</v>
      </c>
      <c r="M28" s="9" t="s">
        <v>4</v>
      </c>
      <c r="N28" s="10">
        <f t="shared" si="1"/>
        <v>3300.0000000000005</v>
      </c>
      <c r="O28" s="10">
        <f t="shared" si="1"/>
        <v>3300.0000000000005</v>
      </c>
      <c r="P28" s="10">
        <f t="shared" si="1"/>
        <v>330</v>
      </c>
      <c r="R28"/>
      <c r="S28" s="42" t="s">
        <v>5</v>
      </c>
      <c r="T28" s="43">
        <f t="shared" si="2"/>
        <v>0</v>
      </c>
      <c r="U28" s="43">
        <f t="shared" si="3"/>
        <v>0</v>
      </c>
      <c r="V28" s="43">
        <f t="shared" si="4"/>
        <v>-10.000000000000014</v>
      </c>
    </row>
    <row r="29" spans="1:24" s="2" customFormat="1" x14ac:dyDescent="0.3">
      <c r="A29" s="34"/>
      <c r="B29" s="34"/>
      <c r="C29" s="34"/>
      <c r="F29" s="13" t="s">
        <v>3</v>
      </c>
      <c r="G29" s="13">
        <f>E9*0.2</f>
        <v>990.00000000000045</v>
      </c>
      <c r="H29" s="13">
        <f>E9*0.35</f>
        <v>1732.5000000000005</v>
      </c>
      <c r="I29" s="13"/>
      <c r="J29" s="13" t="s">
        <v>3</v>
      </c>
      <c r="K29" s="14">
        <f>SUM(B7:D7)</f>
        <v>990.00000000000011</v>
      </c>
      <c r="M29" s="9" t="s">
        <v>5</v>
      </c>
      <c r="N29" s="10">
        <f t="shared" si="1"/>
        <v>220.00000000000003</v>
      </c>
      <c r="O29" s="10">
        <f t="shared" si="1"/>
        <v>220.00000000000003</v>
      </c>
      <c r="P29" s="10">
        <f t="shared" si="1"/>
        <v>110.00000000000001</v>
      </c>
      <c r="R29"/>
      <c r="S29"/>
      <c r="T29"/>
      <c r="U29"/>
      <c r="V29"/>
    </row>
    <row r="30" spans="1:24" x14ac:dyDescent="0.3">
      <c r="A30" s="34"/>
      <c r="B30" s="34"/>
      <c r="C30" s="34"/>
      <c r="F30" s="13" t="s">
        <v>4</v>
      </c>
      <c r="G30" s="13">
        <f>E9*0.4</f>
        <v>1980.0000000000009</v>
      </c>
      <c r="H30" s="13">
        <f>E9*0.7</f>
        <v>3465.0000000000009</v>
      </c>
      <c r="I30" s="13"/>
      <c r="J30" s="13" t="s">
        <v>4</v>
      </c>
      <c r="K30" s="14">
        <f>SUM(B8:D8)</f>
        <v>3450.0000000000014</v>
      </c>
      <c r="U30" s="2"/>
      <c r="V30" s="2"/>
    </row>
    <row r="31" spans="1:24" x14ac:dyDescent="0.3">
      <c r="A31" s="32" t="s">
        <v>38</v>
      </c>
      <c r="B31" s="34"/>
      <c r="C31" s="34"/>
      <c r="D31" s="34"/>
      <c r="F31" s="13" t="s">
        <v>5</v>
      </c>
      <c r="G31" s="13">
        <f>E9*0.05</f>
        <v>247.50000000000011</v>
      </c>
      <c r="H31" s="13">
        <f>E9*0.15</f>
        <v>742.50000000000023</v>
      </c>
      <c r="I31" s="13"/>
      <c r="J31" s="13" t="s">
        <v>5</v>
      </c>
      <c r="K31" s="14">
        <f>SUM(B9:D9)</f>
        <v>510</v>
      </c>
    </row>
    <row r="32" spans="1:24" x14ac:dyDescent="0.3">
      <c r="A32" s="32"/>
      <c r="B32" s="32" t="s">
        <v>0</v>
      </c>
      <c r="C32" s="32" t="s">
        <v>1</v>
      </c>
      <c r="D32" s="32" t="s">
        <v>2</v>
      </c>
    </row>
    <row r="33" spans="1:19" x14ac:dyDescent="0.3">
      <c r="A33" s="32" t="s">
        <v>3</v>
      </c>
      <c r="B33" s="32">
        <v>0</v>
      </c>
      <c r="C33" s="32">
        <v>3</v>
      </c>
      <c r="D33" s="32">
        <v>3</v>
      </c>
    </row>
    <row r="34" spans="1:19" x14ac:dyDescent="0.3">
      <c r="A34" s="32" t="s">
        <v>35</v>
      </c>
      <c r="B34" s="32">
        <v>0</v>
      </c>
      <c r="C34" s="32">
        <v>4</v>
      </c>
      <c r="D34" s="32">
        <v>4</v>
      </c>
    </row>
    <row r="35" spans="1:19" x14ac:dyDescent="0.3">
      <c r="A35" s="32" t="s">
        <v>5</v>
      </c>
      <c r="B35" s="32">
        <v>0</v>
      </c>
      <c r="C35" s="32">
        <v>5</v>
      </c>
      <c r="D35" s="32">
        <v>5</v>
      </c>
    </row>
    <row r="36" spans="1:19" x14ac:dyDescent="0.3">
      <c r="A36" s="30" t="s">
        <v>39</v>
      </c>
      <c r="B36" s="30">
        <f>SUMPRODUCT(B7:D9,B33:D35)</f>
        <v>14115.000000000005</v>
      </c>
      <c r="C36" s="30" t="s">
        <v>6</v>
      </c>
      <c r="D36" s="33">
        <v>19200</v>
      </c>
    </row>
    <row r="40" spans="1:19" x14ac:dyDescent="0.3">
      <c r="A40" s="45" t="s">
        <v>41</v>
      </c>
      <c r="B40" s="46"/>
      <c r="C40" s="46"/>
      <c r="D40" s="46"/>
      <c r="E40" s="46"/>
      <c r="F40" s="46"/>
      <c r="G40" s="47"/>
      <c r="H40" s="2"/>
      <c r="I40" s="48" t="s">
        <v>46</v>
      </c>
      <c r="J40" s="49"/>
      <c r="K40" s="49"/>
      <c r="L40" s="49"/>
      <c r="M40" s="50"/>
      <c r="N40" s="2"/>
      <c r="O40" s="28" t="s">
        <v>52</v>
      </c>
      <c r="P40" s="54"/>
      <c r="Q40" s="26" t="s">
        <v>56</v>
      </c>
      <c r="S40" s="2"/>
    </row>
    <row r="41" spans="1:19" x14ac:dyDescent="0.3">
      <c r="A41" s="44" t="s">
        <v>42</v>
      </c>
      <c r="B41" s="44"/>
      <c r="C41" s="44"/>
      <c r="D41" s="44" t="s">
        <v>43</v>
      </c>
      <c r="E41" s="44" t="s">
        <v>44</v>
      </c>
      <c r="F41" s="44"/>
      <c r="G41" s="44"/>
      <c r="H41" s="2"/>
      <c r="I41" s="51" t="s">
        <v>47</v>
      </c>
      <c r="J41" s="52" t="s">
        <v>48</v>
      </c>
      <c r="K41" s="52" t="s">
        <v>49</v>
      </c>
      <c r="L41" s="52" t="s">
        <v>50</v>
      </c>
      <c r="M41" s="51" t="s">
        <v>51</v>
      </c>
      <c r="N41" s="2"/>
      <c r="O41" s="29" t="s">
        <v>53</v>
      </c>
      <c r="P41" s="29" t="s">
        <v>54</v>
      </c>
      <c r="Q41" s="29" t="s">
        <v>55</v>
      </c>
      <c r="S41" s="2"/>
    </row>
    <row r="42" spans="1:19" x14ac:dyDescent="0.3">
      <c r="A42" s="44" t="s">
        <v>14</v>
      </c>
      <c r="B42" s="44" t="s">
        <v>15</v>
      </c>
      <c r="C42" s="44" t="s">
        <v>16</v>
      </c>
      <c r="D42" s="44" t="s">
        <v>45</v>
      </c>
      <c r="E42" s="44" t="s">
        <v>17</v>
      </c>
      <c r="F42" s="44" t="s">
        <v>18</v>
      </c>
      <c r="G42" s="44" t="s">
        <v>19</v>
      </c>
      <c r="H42" s="2"/>
      <c r="I42" s="51" t="s">
        <v>0</v>
      </c>
      <c r="J42" s="53" t="s">
        <v>3</v>
      </c>
      <c r="K42" s="52">
        <v>950</v>
      </c>
      <c r="L42" s="52">
        <v>950</v>
      </c>
      <c r="M42" s="51">
        <v>0</v>
      </c>
      <c r="N42" s="2"/>
      <c r="O42" s="27">
        <f>SUMPRODUCT(M7:O9,B7:D9)</f>
        <v>407550.00000000012</v>
      </c>
      <c r="P42" s="27">
        <f>SUMPRODUCT(R7:T9,H7:J9)</f>
        <v>223439.99999999953</v>
      </c>
      <c r="Q42" s="27">
        <f>O42-P42</f>
        <v>184110.00000000058</v>
      </c>
      <c r="S42" s="2"/>
    </row>
    <row r="43" spans="1:19" x14ac:dyDescent="0.3">
      <c r="A43" s="44">
        <f>1.5*B7+2*B8+2.5*B9</f>
        <v>2602.5000000000005</v>
      </c>
      <c r="B43" s="44">
        <f>SUM(B7:C9)</f>
        <v>4455.0000000000018</v>
      </c>
      <c r="C43" s="44">
        <f>3*C7+4*C8+5*C9+3*D7+4*D8+5*D9</f>
        <v>14115.000000000005</v>
      </c>
      <c r="D43" s="44">
        <f>G21</f>
        <v>154705.00000000006</v>
      </c>
      <c r="E43" s="44">
        <f>L21</f>
        <v>27490.000000000007</v>
      </c>
      <c r="F43" s="44">
        <f>Q21</f>
        <v>17530.000000000004</v>
      </c>
      <c r="G43" s="44">
        <f>V21</f>
        <v>144625.00000000006</v>
      </c>
      <c r="I43" s="52"/>
      <c r="J43" s="53" t="s">
        <v>35</v>
      </c>
      <c r="K43" s="52">
        <v>350</v>
      </c>
      <c r="L43" s="52">
        <v>350</v>
      </c>
      <c r="M43" s="52">
        <v>0</v>
      </c>
    </row>
    <row r="44" spans="1:19" x14ac:dyDescent="0.3">
      <c r="I44" s="52"/>
      <c r="J44" s="53" t="s">
        <v>5</v>
      </c>
      <c r="K44" s="52">
        <v>200</v>
      </c>
      <c r="L44" s="52">
        <v>200</v>
      </c>
      <c r="M44" s="52">
        <v>0</v>
      </c>
    </row>
    <row r="45" spans="1:19" x14ac:dyDescent="0.3">
      <c r="I45" s="51" t="s">
        <v>1</v>
      </c>
      <c r="J45" s="53" t="s">
        <v>3</v>
      </c>
      <c r="K45" s="52">
        <v>0</v>
      </c>
      <c r="L45" s="52">
        <v>0</v>
      </c>
      <c r="M45" s="52">
        <v>0</v>
      </c>
    </row>
    <row r="46" spans="1:19" x14ac:dyDescent="0.3">
      <c r="I46" s="52"/>
      <c r="J46" s="53" t="s">
        <v>35</v>
      </c>
      <c r="K46" s="52">
        <v>2770</v>
      </c>
      <c r="L46" s="52">
        <v>2770</v>
      </c>
      <c r="M46" s="52">
        <v>0</v>
      </c>
    </row>
    <row r="47" spans="1:19" x14ac:dyDescent="0.3">
      <c r="I47" s="52"/>
      <c r="J47" s="53" t="s">
        <v>5</v>
      </c>
      <c r="K47" s="52">
        <v>200</v>
      </c>
      <c r="L47" s="52">
        <v>200</v>
      </c>
      <c r="M47" s="52">
        <v>0</v>
      </c>
    </row>
    <row r="48" spans="1:19" x14ac:dyDescent="0.3">
      <c r="I48" s="52" t="s">
        <v>2</v>
      </c>
      <c r="J48" s="53" t="s">
        <v>3</v>
      </c>
      <c r="K48" s="52">
        <v>55</v>
      </c>
      <c r="L48" s="52">
        <v>55</v>
      </c>
      <c r="M48" s="52">
        <v>0</v>
      </c>
    </row>
    <row r="49" spans="9:13" x14ac:dyDescent="0.3">
      <c r="I49" s="52"/>
      <c r="J49" s="53" t="s">
        <v>35</v>
      </c>
      <c r="K49" s="52">
        <v>330</v>
      </c>
      <c r="L49" s="52">
        <v>330</v>
      </c>
      <c r="M49" s="52">
        <v>0</v>
      </c>
    </row>
    <row r="50" spans="9:13" x14ac:dyDescent="0.3">
      <c r="I50" s="52"/>
      <c r="J50" s="53" t="s">
        <v>5</v>
      </c>
      <c r="K50" s="52">
        <v>110</v>
      </c>
      <c r="L50" s="52">
        <v>110</v>
      </c>
      <c r="M50" s="52">
        <v>0</v>
      </c>
    </row>
    <row r="65" spans="9:10" x14ac:dyDescent="0.3">
      <c r="I65" s="2"/>
      <c r="J65" s="2"/>
    </row>
    <row r="66" spans="9:10" x14ac:dyDescent="0.3">
      <c r="I66" s="2"/>
      <c r="J66" s="2"/>
    </row>
  </sheetData>
  <mergeCells count="2">
    <mergeCell ref="A1:C1"/>
    <mergeCell ref="A2:C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26B0-52DA-4EC8-BD50-682DB90B9021}">
  <dimension ref="A1:B23"/>
  <sheetViews>
    <sheetView workbookViewId="0">
      <selection sqref="A1:A2"/>
    </sheetView>
  </sheetViews>
  <sheetFormatPr defaultRowHeight="14.4" x14ac:dyDescent="0.3"/>
  <cols>
    <col min="1" max="1" width="26.33203125" customWidth="1"/>
    <col min="2" max="2" width="72.44140625" customWidth="1"/>
  </cols>
  <sheetData>
    <row r="1" spans="1:2" x14ac:dyDescent="0.3">
      <c r="A1" s="60" t="s">
        <v>57</v>
      </c>
    </row>
    <row r="2" spans="1:2" ht="43.8" thickBot="1" x14ac:dyDescent="0.35">
      <c r="A2" s="61" t="s">
        <v>58</v>
      </c>
    </row>
    <row r="4" spans="1:2" ht="28.8" customHeight="1" x14ac:dyDescent="0.3">
      <c r="A4" s="79" t="s">
        <v>59</v>
      </c>
      <c r="B4" s="79"/>
    </row>
    <row r="5" spans="1:2" x14ac:dyDescent="0.3">
      <c r="A5" s="57" t="s">
        <v>78</v>
      </c>
      <c r="B5" s="55" t="s">
        <v>60</v>
      </c>
    </row>
    <row r="6" spans="1:2" x14ac:dyDescent="0.3">
      <c r="A6" s="57" t="s">
        <v>79</v>
      </c>
      <c r="B6" s="55" t="s">
        <v>61</v>
      </c>
    </row>
    <row r="7" spans="1:2" x14ac:dyDescent="0.3">
      <c r="A7" s="57" t="s">
        <v>80</v>
      </c>
      <c r="B7" s="55" t="s">
        <v>62</v>
      </c>
    </row>
    <row r="8" spans="1:2" x14ac:dyDescent="0.3">
      <c r="A8" s="57" t="s">
        <v>81</v>
      </c>
      <c r="B8" s="55" t="s">
        <v>63</v>
      </c>
    </row>
    <row r="9" spans="1:2" x14ac:dyDescent="0.3">
      <c r="A9" s="57" t="s">
        <v>82</v>
      </c>
      <c r="B9" s="55" t="s">
        <v>64</v>
      </c>
    </row>
    <row r="10" spans="1:2" x14ac:dyDescent="0.3">
      <c r="A10" s="57" t="s">
        <v>83</v>
      </c>
      <c r="B10" s="55" t="s">
        <v>65</v>
      </c>
    </row>
    <row r="11" spans="1:2" x14ac:dyDescent="0.3">
      <c r="A11" s="57" t="s">
        <v>84</v>
      </c>
      <c r="B11" s="55" t="s">
        <v>66</v>
      </c>
    </row>
    <row r="12" spans="1:2" x14ac:dyDescent="0.3">
      <c r="A12" s="57" t="s">
        <v>85</v>
      </c>
      <c r="B12" s="55" t="s">
        <v>67</v>
      </c>
    </row>
    <row r="13" spans="1:2" x14ac:dyDescent="0.3">
      <c r="A13" s="57" t="s">
        <v>86</v>
      </c>
      <c r="B13" s="55" t="s">
        <v>68</v>
      </c>
    </row>
    <row r="14" spans="1:2" x14ac:dyDescent="0.3">
      <c r="A14" s="58" t="s">
        <v>87</v>
      </c>
      <c r="B14" s="56" t="s">
        <v>69</v>
      </c>
    </row>
    <row r="15" spans="1:2" x14ac:dyDescent="0.3">
      <c r="A15" s="58" t="s">
        <v>88</v>
      </c>
      <c r="B15" s="56" t="s">
        <v>70</v>
      </c>
    </row>
    <row r="16" spans="1:2" x14ac:dyDescent="0.3">
      <c r="A16" s="58" t="s">
        <v>89</v>
      </c>
      <c r="B16" s="56" t="s">
        <v>71</v>
      </c>
    </row>
    <row r="17" spans="1:2" x14ac:dyDescent="0.3">
      <c r="A17" s="58" t="s">
        <v>90</v>
      </c>
      <c r="B17" s="56" t="s">
        <v>72</v>
      </c>
    </row>
    <row r="18" spans="1:2" x14ac:dyDescent="0.3">
      <c r="A18" s="58" t="s">
        <v>91</v>
      </c>
      <c r="B18" s="56" t="s">
        <v>73</v>
      </c>
    </row>
    <row r="19" spans="1:2" x14ac:dyDescent="0.3">
      <c r="A19" s="58" t="s">
        <v>92</v>
      </c>
      <c r="B19" s="56" t="s">
        <v>74</v>
      </c>
    </row>
    <row r="20" spans="1:2" x14ac:dyDescent="0.3">
      <c r="A20" s="58" t="s">
        <v>93</v>
      </c>
      <c r="B20" s="56" t="s">
        <v>75</v>
      </c>
    </row>
    <row r="21" spans="1:2" x14ac:dyDescent="0.3">
      <c r="A21" s="58" t="s">
        <v>94</v>
      </c>
      <c r="B21" s="56" t="s">
        <v>76</v>
      </c>
    </row>
    <row r="22" spans="1:2" x14ac:dyDescent="0.3">
      <c r="A22" s="58" t="s">
        <v>95</v>
      </c>
      <c r="B22" s="56" t="s">
        <v>77</v>
      </c>
    </row>
    <row r="23" spans="1:2" x14ac:dyDescent="0.3">
      <c r="A23" s="59"/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4EAB-5AD1-4E6C-8B59-FEF26C8E7E69}">
  <dimension ref="A1:K29"/>
  <sheetViews>
    <sheetView zoomScale="70" zoomScaleNormal="70" workbookViewId="0">
      <selection activeCell="N12" sqref="N12"/>
    </sheetView>
  </sheetViews>
  <sheetFormatPr defaultRowHeight="14.4" x14ac:dyDescent="0.3"/>
  <cols>
    <col min="1" max="1" width="29.109375" customWidth="1"/>
    <col min="2" max="2" width="12.44140625" customWidth="1"/>
    <col min="3" max="3" width="14.21875" customWidth="1"/>
    <col min="4" max="4" width="15.6640625" customWidth="1"/>
    <col min="5" max="5" width="14.21875" customWidth="1"/>
    <col min="6" max="6" width="12.44140625" customWidth="1"/>
    <col min="7" max="7" width="12.6640625" customWidth="1"/>
    <col min="8" max="8" width="11.33203125" customWidth="1"/>
    <col min="9" max="9" width="12.77734375" customWidth="1"/>
    <col min="10" max="10" width="14.109375" customWidth="1"/>
    <col min="11" max="11" width="11.77734375" customWidth="1"/>
  </cols>
  <sheetData>
    <row r="1" spans="1:11" x14ac:dyDescent="0.3">
      <c r="A1" s="60" t="s">
        <v>57</v>
      </c>
    </row>
    <row r="2" spans="1:11" ht="58.8" customHeight="1" thickBot="1" x14ac:dyDescent="0.35">
      <c r="A2" s="61" t="s">
        <v>58</v>
      </c>
    </row>
    <row r="4" spans="1:11" x14ac:dyDescent="0.3">
      <c r="A4" s="62" t="s">
        <v>97</v>
      </c>
    </row>
    <row r="5" spans="1:11" x14ac:dyDescent="0.3">
      <c r="A5" s="64" t="s">
        <v>98</v>
      </c>
      <c r="B5" s="81" t="s">
        <v>102</v>
      </c>
      <c r="C5" s="81"/>
      <c r="D5" s="81"/>
      <c r="E5" s="81" t="s">
        <v>103</v>
      </c>
      <c r="F5" s="82" t="s">
        <v>104</v>
      </c>
      <c r="G5" s="83"/>
      <c r="H5" s="84"/>
    </row>
    <row r="6" spans="1:11" ht="28.8" x14ac:dyDescent="0.3">
      <c r="A6" s="64"/>
      <c r="B6" s="64" t="s">
        <v>14</v>
      </c>
      <c r="C6" s="64" t="s">
        <v>15</v>
      </c>
      <c r="D6" s="64" t="s">
        <v>105</v>
      </c>
      <c r="E6" s="81"/>
      <c r="F6" s="64" t="s">
        <v>106</v>
      </c>
      <c r="G6" s="64" t="s">
        <v>107</v>
      </c>
      <c r="H6" s="64" t="s">
        <v>108</v>
      </c>
    </row>
    <row r="7" spans="1:11" x14ac:dyDescent="0.3">
      <c r="A7" s="64" t="s">
        <v>99</v>
      </c>
      <c r="B7" s="87">
        <v>6506.61</v>
      </c>
      <c r="C7" s="87">
        <v>7515.05</v>
      </c>
      <c r="D7" s="87">
        <v>19200</v>
      </c>
      <c r="E7" s="87">
        <v>242699.27</v>
      </c>
      <c r="F7" s="87">
        <v>75475.210000000006</v>
      </c>
      <c r="G7" s="87">
        <v>47733.74</v>
      </c>
      <c r="H7" s="87">
        <v>188119.95</v>
      </c>
    </row>
    <row r="8" spans="1:11" x14ac:dyDescent="0.3">
      <c r="A8" s="64" t="s">
        <v>100</v>
      </c>
      <c r="B8" s="87">
        <v>6649.09</v>
      </c>
      <c r="C8" s="87">
        <v>7480.07</v>
      </c>
      <c r="D8" s="87">
        <v>19200</v>
      </c>
      <c r="E8" s="87">
        <v>242834.23</v>
      </c>
      <c r="F8" s="87">
        <v>77524.789999999994</v>
      </c>
      <c r="G8" s="87">
        <v>50128.45</v>
      </c>
      <c r="H8" s="87">
        <v>188740.05</v>
      </c>
    </row>
    <row r="9" spans="1:11" x14ac:dyDescent="0.3">
      <c r="A9" s="64" t="s">
        <v>101</v>
      </c>
      <c r="B9" s="87">
        <v>6764.29</v>
      </c>
      <c r="C9" s="87">
        <v>7523.42</v>
      </c>
      <c r="D9" s="87">
        <v>19200</v>
      </c>
      <c r="E9" s="87">
        <v>244765.5</v>
      </c>
      <c r="F9" s="87">
        <v>80000</v>
      </c>
      <c r="G9" s="87">
        <v>51449.86</v>
      </c>
      <c r="H9" s="87">
        <v>187614.69</v>
      </c>
    </row>
    <row r="11" spans="1:11" x14ac:dyDescent="0.3">
      <c r="A11" s="65" t="s">
        <v>109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</row>
    <row r="12" spans="1:11" x14ac:dyDescent="0.3">
      <c r="A12" s="85"/>
      <c r="B12" s="86"/>
      <c r="C12" s="80" t="s">
        <v>99</v>
      </c>
      <c r="D12" s="80"/>
      <c r="E12" s="80"/>
      <c r="F12" s="80" t="s">
        <v>100</v>
      </c>
      <c r="G12" s="80"/>
      <c r="H12" s="80"/>
      <c r="I12" s="80" t="s">
        <v>101</v>
      </c>
      <c r="J12" s="80"/>
      <c r="K12" s="80"/>
    </row>
    <row r="13" spans="1:11" x14ac:dyDescent="0.3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51</v>
      </c>
      <c r="F13" s="5" t="s">
        <v>49</v>
      </c>
      <c r="G13" s="5" t="s">
        <v>50</v>
      </c>
      <c r="H13" s="5" t="s">
        <v>51</v>
      </c>
      <c r="I13" s="67" t="s">
        <v>49</v>
      </c>
      <c r="J13" s="67" t="s">
        <v>50</v>
      </c>
      <c r="K13" s="67" t="s">
        <v>51</v>
      </c>
    </row>
    <row r="14" spans="1:11" x14ac:dyDescent="0.3">
      <c r="A14" s="5" t="s">
        <v>110</v>
      </c>
      <c r="B14" s="63" t="s">
        <v>111</v>
      </c>
      <c r="C14" s="71">
        <v>651.02</v>
      </c>
      <c r="D14" s="71">
        <v>651.02</v>
      </c>
      <c r="E14" s="71">
        <v>0</v>
      </c>
      <c r="F14" s="71">
        <v>566.05999999999995</v>
      </c>
      <c r="G14" s="71">
        <v>566.05999999999995</v>
      </c>
      <c r="H14" s="71">
        <v>0</v>
      </c>
      <c r="I14" s="71">
        <v>292.86</v>
      </c>
      <c r="J14" s="71">
        <v>135.36000000000001</v>
      </c>
      <c r="K14" s="71">
        <v>157.5</v>
      </c>
    </row>
    <row r="15" spans="1:11" x14ac:dyDescent="0.3">
      <c r="A15" s="5"/>
      <c r="B15" s="63" t="s">
        <v>112</v>
      </c>
      <c r="C15" s="71">
        <v>2515.04</v>
      </c>
      <c r="D15" s="71">
        <v>2515.04</v>
      </c>
      <c r="E15" s="71">
        <v>0</v>
      </c>
      <c r="F15" s="71">
        <v>2400</v>
      </c>
      <c r="G15" s="71">
        <v>2400</v>
      </c>
      <c r="H15" s="71">
        <v>0</v>
      </c>
      <c r="I15" s="71">
        <v>2765</v>
      </c>
      <c r="J15" s="71">
        <v>2600</v>
      </c>
      <c r="K15" s="71">
        <v>165</v>
      </c>
    </row>
    <row r="16" spans="1:11" x14ac:dyDescent="0.3">
      <c r="A16" s="5"/>
      <c r="B16" s="63" t="s">
        <v>113</v>
      </c>
      <c r="C16" s="71">
        <v>200</v>
      </c>
      <c r="D16" s="71">
        <v>200</v>
      </c>
      <c r="E16" s="71">
        <v>0</v>
      </c>
      <c r="F16" s="71">
        <v>400</v>
      </c>
      <c r="G16" s="71">
        <v>400</v>
      </c>
      <c r="H16" s="71">
        <v>0</v>
      </c>
      <c r="I16" s="71">
        <v>318</v>
      </c>
      <c r="J16" s="71">
        <v>300</v>
      </c>
      <c r="K16" s="71">
        <v>18</v>
      </c>
    </row>
    <row r="17" spans="1:11" x14ac:dyDescent="0.3">
      <c r="A17" s="5" t="s">
        <v>114</v>
      </c>
      <c r="B17" s="63" t="s">
        <v>111</v>
      </c>
      <c r="C17" s="71">
        <v>800</v>
      </c>
      <c r="D17" s="71">
        <v>800</v>
      </c>
      <c r="E17" s="71">
        <v>0</v>
      </c>
      <c r="F17" s="71">
        <v>852.42</v>
      </c>
      <c r="G17" s="71">
        <v>800</v>
      </c>
      <c r="H17" s="71">
        <v>52.42</v>
      </c>
      <c r="I17" s="71">
        <v>1000.08</v>
      </c>
      <c r="J17" s="71">
        <v>1000</v>
      </c>
      <c r="K17" s="71">
        <v>52.5</v>
      </c>
    </row>
    <row r="18" spans="1:11" x14ac:dyDescent="0.3">
      <c r="A18" s="5"/>
      <c r="B18" s="63" t="s">
        <v>112</v>
      </c>
      <c r="C18" s="71">
        <v>3000</v>
      </c>
      <c r="D18" s="71">
        <v>3000</v>
      </c>
      <c r="E18" s="71">
        <v>0</v>
      </c>
      <c r="F18" s="71">
        <v>2730.59</v>
      </c>
      <c r="G18" s="71">
        <v>2730.59</v>
      </c>
      <c r="H18" s="71">
        <v>0</v>
      </c>
      <c r="I18" s="71">
        <v>2680.49</v>
      </c>
      <c r="J18" s="71">
        <v>2530.4899999999998</v>
      </c>
      <c r="K18" s="71">
        <v>150</v>
      </c>
    </row>
    <row r="19" spans="1:11" x14ac:dyDescent="0.3">
      <c r="A19" s="5"/>
      <c r="B19" s="63" t="s">
        <v>113</v>
      </c>
      <c r="C19" s="71">
        <v>349</v>
      </c>
      <c r="D19" s="71">
        <v>220</v>
      </c>
      <c r="E19" s="71">
        <v>129</v>
      </c>
      <c r="F19" s="71">
        <v>531</v>
      </c>
      <c r="G19" s="71">
        <v>660</v>
      </c>
      <c r="H19" s="71">
        <v>0</v>
      </c>
      <c r="I19" s="71">
        <v>467</v>
      </c>
      <c r="J19" s="71">
        <v>440</v>
      </c>
      <c r="K19" s="71">
        <v>27</v>
      </c>
    </row>
    <row r="20" spans="1:11" x14ac:dyDescent="0.3">
      <c r="A20" s="5" t="s">
        <v>115</v>
      </c>
      <c r="B20" s="63" t="s">
        <v>111</v>
      </c>
      <c r="C20" s="71">
        <v>395.01</v>
      </c>
      <c r="D20" s="71">
        <v>55</v>
      </c>
      <c r="E20" s="71">
        <v>340.01</v>
      </c>
      <c r="F20" s="71">
        <v>391.12</v>
      </c>
      <c r="G20" s="71">
        <v>77</v>
      </c>
      <c r="H20" s="71">
        <v>654.13</v>
      </c>
      <c r="I20" s="71">
        <v>378.94</v>
      </c>
      <c r="J20" s="71">
        <v>88</v>
      </c>
      <c r="K20" s="71">
        <v>945.06</v>
      </c>
    </row>
    <row r="21" spans="1:11" x14ac:dyDescent="0.3">
      <c r="A21" s="5"/>
      <c r="B21" s="63" t="s">
        <v>112</v>
      </c>
      <c r="C21" s="71">
        <v>330</v>
      </c>
      <c r="D21" s="71">
        <v>330</v>
      </c>
      <c r="E21" s="71">
        <v>0</v>
      </c>
      <c r="F21" s="71">
        <v>308</v>
      </c>
      <c r="G21" s="71">
        <v>308</v>
      </c>
      <c r="H21" s="71">
        <v>0</v>
      </c>
      <c r="I21" s="71">
        <v>279</v>
      </c>
      <c r="J21" s="71">
        <v>264</v>
      </c>
      <c r="K21" s="71">
        <v>15</v>
      </c>
    </row>
    <row r="22" spans="1:11" x14ac:dyDescent="0.3">
      <c r="A22" s="5"/>
      <c r="B22" s="63" t="s">
        <v>113</v>
      </c>
      <c r="C22" s="71">
        <v>110</v>
      </c>
      <c r="D22" s="71">
        <v>110</v>
      </c>
      <c r="E22" s="71">
        <v>0</v>
      </c>
      <c r="F22" s="71">
        <v>132</v>
      </c>
      <c r="G22" s="71">
        <v>132</v>
      </c>
      <c r="H22" s="71">
        <v>0</v>
      </c>
      <c r="I22" s="71">
        <v>178</v>
      </c>
      <c r="J22" s="71">
        <v>154</v>
      </c>
      <c r="K22" s="71">
        <v>24</v>
      </c>
    </row>
    <row r="24" spans="1:11" x14ac:dyDescent="0.3">
      <c r="A24" s="70" t="s">
        <v>116</v>
      </c>
      <c r="B24" s="70"/>
      <c r="C24" s="70"/>
      <c r="D24" s="70"/>
      <c r="E24" s="70"/>
      <c r="F24" s="70"/>
    </row>
    <row r="25" spans="1:11" ht="43.2" x14ac:dyDescent="0.3">
      <c r="A25" s="68" t="s">
        <v>117</v>
      </c>
      <c r="B25" s="69" t="s">
        <v>118</v>
      </c>
      <c r="C25" s="69" t="s">
        <v>119</v>
      </c>
      <c r="D25" s="69" t="s">
        <v>120</v>
      </c>
      <c r="E25" s="69" t="s">
        <v>121</v>
      </c>
      <c r="F25" s="69" t="s">
        <v>122</v>
      </c>
    </row>
    <row r="26" spans="1:11" x14ac:dyDescent="0.3">
      <c r="A26" s="68" t="s">
        <v>99</v>
      </c>
      <c r="B26" s="72">
        <v>527721.53</v>
      </c>
      <c r="C26" s="72">
        <v>49473.18</v>
      </c>
      <c r="D26" s="72">
        <v>5012.51</v>
      </c>
      <c r="E26" s="72">
        <v>0</v>
      </c>
      <c r="F26" s="72">
        <v>473235.84</v>
      </c>
    </row>
    <row r="27" spans="1:11" x14ac:dyDescent="0.3">
      <c r="A27" s="68" t="s">
        <v>100</v>
      </c>
      <c r="B27" s="72">
        <v>567868.34</v>
      </c>
      <c r="C27" s="72">
        <v>34414.629999999997</v>
      </c>
      <c r="D27" s="72">
        <v>6803.36</v>
      </c>
      <c r="E27" s="72">
        <v>602.46</v>
      </c>
      <c r="F27" s="72">
        <v>526047.89</v>
      </c>
    </row>
    <row r="28" spans="1:11" x14ac:dyDescent="0.3">
      <c r="A28" s="68" t="s">
        <v>101</v>
      </c>
      <c r="B28" s="72">
        <v>524996.26</v>
      </c>
      <c r="C28" s="72">
        <v>56751.43</v>
      </c>
      <c r="D28" s="72">
        <v>13287.61</v>
      </c>
      <c r="E28" s="72">
        <v>717.24</v>
      </c>
      <c r="F28" s="72">
        <v>454239.98</v>
      </c>
    </row>
    <row r="29" spans="1:11" x14ac:dyDescent="0.3">
      <c r="A29" s="68" t="s">
        <v>123</v>
      </c>
      <c r="B29" s="72">
        <v>1620586.13</v>
      </c>
      <c r="C29" s="72">
        <v>140639.24</v>
      </c>
      <c r="D29" s="72">
        <v>25103.48</v>
      </c>
      <c r="E29" s="72">
        <v>1319.7</v>
      </c>
      <c r="F29" s="72">
        <v>1453523.71</v>
      </c>
    </row>
  </sheetData>
  <mergeCells count="7">
    <mergeCell ref="I12:K12"/>
    <mergeCell ref="B5:D5"/>
    <mergeCell ref="E5:E6"/>
    <mergeCell ref="F5:H5"/>
    <mergeCell ref="A12:B12"/>
    <mergeCell ref="C12:E12"/>
    <mergeCell ref="F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 şıkkı çözümü</vt:lpstr>
      <vt:lpstr>b şıkkı Karar değişkenleri</vt:lpstr>
      <vt:lpstr>d.Şıkkı GAMS tabloları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Kaya</dc:creator>
  <cp:lastModifiedBy>Aleyna Baysal</cp:lastModifiedBy>
  <dcterms:created xsi:type="dcterms:W3CDTF">2026-02-28T17:28:40Z</dcterms:created>
  <dcterms:modified xsi:type="dcterms:W3CDTF">2026-03-09T19:05:33Z</dcterms:modified>
</cp:coreProperties>
</file>